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NB" sheetId="1" r:id="rId4"/>
    <sheet state="visible" name="Quiz NB" sheetId="2" r:id="rId5"/>
  </sheets>
  <definedNames/>
  <calcPr/>
  <extLst>
    <ext uri="GoogleSheetsCustomDataVersion2">
      <go:sheetsCustomData xmlns:go="http://customooxmlschemas.google.com/" r:id="rId6" roundtripDataChecksum="IvpxLtgn7pUZIyLtdHDuz36NTvFsaIEOlEZOQPYI0Uc="/>
    </ext>
  </extLst>
</workbook>
</file>

<file path=xl/sharedStrings.xml><?xml version="1.0" encoding="utf-8"?>
<sst xmlns="http://schemas.openxmlformats.org/spreadsheetml/2006/main" count="160" uniqueCount="72">
  <si>
    <t xml:space="preserve">Cara Kerja Naive Bayes Classification </t>
  </si>
  <si>
    <t>1. Persiapan Data</t>
  </si>
  <si>
    <t>Day</t>
  </si>
  <si>
    <t>Outlook</t>
  </si>
  <si>
    <t>Temperature</t>
  </si>
  <si>
    <t>Humidity</t>
  </si>
  <si>
    <t>Wind</t>
  </si>
  <si>
    <t>Play Ball</t>
  </si>
  <si>
    <t>Sunny</t>
  </si>
  <si>
    <t>Hot</t>
  </si>
  <si>
    <t>High</t>
  </si>
  <si>
    <t>Weak</t>
  </si>
  <si>
    <t>No</t>
  </si>
  <si>
    <t>Strong</t>
  </si>
  <si>
    <t>Cloudy</t>
  </si>
  <si>
    <t>Yes</t>
  </si>
  <si>
    <t>Rain</t>
  </si>
  <si>
    <t>Mild</t>
  </si>
  <si>
    <t>Cool</t>
  </si>
  <si>
    <t>Normal</t>
  </si>
  <si>
    <t xml:space="preserve">Cool </t>
  </si>
  <si>
    <t>2. Hitung Probabilitas Kelas</t>
  </si>
  <si>
    <t>P(Yes) =</t>
  </si>
  <si>
    <t>P(No) =</t>
  </si>
  <si>
    <t>3. Hitung Probabilitas Kondisional</t>
  </si>
  <si>
    <t>Untuk menghitung probabilitas prediksi, kita perlu menghitung probabilitas dari setiap fitur terhadap kelas "Yes" dan "No".</t>
  </si>
  <si>
    <t>a. Outlook</t>
  </si>
  <si>
    <t>b. Temperature</t>
  </si>
  <si>
    <t>Yes(4)</t>
  </si>
  <si>
    <t>No(3)</t>
  </si>
  <si>
    <t>c. Humidity</t>
  </si>
  <si>
    <t>d. Wind</t>
  </si>
  <si>
    <t>Contoh Prediksi:</t>
  </si>
  <si>
    <t>Misalkan kita ingin prediksi data berikut:</t>
  </si>
  <si>
    <t>Outlook = Sunny, Temperature = cool, Humidity = High, Wind = Strong</t>
  </si>
  <si>
    <t>Hitung Probabilitas Kelas:</t>
  </si>
  <si>
    <t>P(Yes|Fitur) = P(Yes) * P(Sunny|Yes) * P(Cool|Yes) * P(High|Yes) * P(Strong|Yes)</t>
  </si>
  <si>
    <t xml:space="preserve">P(Yes) = </t>
  </si>
  <si>
    <t xml:space="preserve">P(Sunny|Yes) = </t>
  </si>
  <si>
    <t xml:space="preserve">Gunakan Laplace smoothing: (0+1)/(4+3) </t>
  </si>
  <si>
    <t xml:space="preserve">P(Cool|Yes) = </t>
  </si>
  <si>
    <t xml:space="preserve">P(High|Yes) = </t>
  </si>
  <si>
    <t xml:space="preserve">P(Strong|Yes) = </t>
  </si>
  <si>
    <t xml:space="preserve">P(Yes|Fitur) </t>
  </si>
  <si>
    <t>P(No|Fitur) = P(No) * P(Sunny|No) * P(Cool|No) * P(High|No) * P(Strong|No)</t>
  </si>
  <si>
    <t xml:space="preserve">P(No) = </t>
  </si>
  <si>
    <t xml:space="preserve">P(Sunny|No) = </t>
  </si>
  <si>
    <t xml:space="preserve">P(Cool|No) = </t>
  </si>
  <si>
    <t xml:space="preserve">P(High|No) = </t>
  </si>
  <si>
    <t xml:space="preserve">P(Strong|No) = </t>
  </si>
  <si>
    <t xml:space="preserve">P(No|Fitur) </t>
  </si>
  <si>
    <t>4. Menerapkan teorema Bayes</t>
  </si>
  <si>
    <t>📌 Kesimpulan:</t>
  </si>
  <si>
    <t>Karena P(No | Fitur) &gt; P(Yes | Fitur), maka prediksi Naive Bayes untuk data:</t>
  </si>
  <si>
    <t>Outlook = Sunny, Temperature = Cool, Humidity = High, Wind = Strong</t>
  </si>
  <si>
    <r>
      <rPr>
        <rFont val="Calibri"/>
        <color theme="1"/>
      </rPr>
      <t xml:space="preserve">adalah: </t>
    </r>
    <r>
      <rPr>
        <rFont val="Calibri"/>
        <b/>
        <color theme="1"/>
        <sz val="11.0"/>
      </rPr>
      <t>"No"</t>
    </r>
  </si>
  <si>
    <t>Naive Bayes Classification - Quiz</t>
  </si>
  <si>
    <t>Nama :</t>
  </si>
  <si>
    <t>NIM :</t>
  </si>
  <si>
    <t xml:space="preserve">Kelas : </t>
  </si>
  <si>
    <t>1. Data</t>
  </si>
  <si>
    <t>❓Pertanyaan:</t>
  </si>
  <si>
    <r>
      <rPr>
        <rFont val="Calibri"/>
        <color theme="1"/>
        <sz val="11.0"/>
      </rPr>
      <t xml:space="preserve">Berdasarkan data di atas, gunakan algoritma </t>
    </r>
    <r>
      <rPr>
        <rFont val="Calibri"/>
        <b/>
        <color theme="1"/>
        <sz val="11.0"/>
      </rPr>
      <t>Naive Bayes</t>
    </r>
    <r>
      <rPr>
        <rFont val="Calibri"/>
        <color theme="1"/>
        <sz val="11.0"/>
      </rPr>
      <t xml:space="preserve"> untuk memprediksi apakah seseorang akan </t>
    </r>
    <r>
      <rPr>
        <rFont val="Calibri"/>
        <b/>
        <color theme="1"/>
        <sz val="11.0"/>
      </rPr>
      <t>Play = Yes atau No</t>
    </r>
    <r>
      <rPr>
        <rFont val="Calibri"/>
        <color theme="1"/>
        <sz val="11.0"/>
      </rPr>
      <t xml:space="preserve"> jika kondisi cuaca berikut:</t>
    </r>
  </si>
  <si>
    <t xml:space="preserve">  - Outlook = Sunny</t>
  </si>
  <si>
    <t xml:space="preserve">  - Temperature = Cool</t>
  </si>
  <si>
    <t xml:space="preserve">  - Humidity = High</t>
  </si>
  <si>
    <t xml:space="preserve">  - Wind = Weak</t>
  </si>
  <si>
    <t>Petunjuk:</t>
  </si>
  <si>
    <t>- Hitung probabilitas P(Yes) dan P(No)</t>
  </si>
  <si>
    <t>- Hitung probabilitas kondisi fitur terhadap setiap kelas</t>
  </si>
  <si>
    <t>- Gunakan Laplace smoothing jika perlu</t>
  </si>
  <si>
    <t>- Tentukan prediksi akhir berdasarkan probabilitas tertinggi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</si>
</sst>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\ ?/4"/>
    <numFmt numFmtId="165" formatCode="_(* #,##0.00000_);_(* \(#,##0.00000\);_(* &quot;-&quot;?????_);_(@_)"/>
    <numFmt numFmtId="166" formatCode="#\ ?/8"/>
  </numFmts>
  <fonts count="10">
    <font>
      <sz val="11.0"/>
      <color theme="1"/>
      <name val="Calibri"/>
      <scheme val="minor"/>
    </font>
    <font>
      <b/>
      <sz val="14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3.0"/>
      <color theme="1"/>
      <name val="Calibri"/>
    </font>
    <font>
      <b/>
      <sz val="10.0"/>
      <color theme="1"/>
      <name val="Arimo"/>
    </font>
    <font>
      <b/>
      <sz val="14.0"/>
      <color rgb="FFFF0000"/>
      <name val="Calibri"/>
    </font>
    <font>
      <b/>
      <sz val="12.0"/>
      <color rgb="FFFF0000"/>
      <name val="Calibri"/>
    </font>
    <font>
      <sz val="11.0"/>
      <color rgb="FFFF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0" fontId="2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0" fillId="0" fontId="4" numFmtId="0" xfId="0" applyFont="1"/>
    <xf borderId="0" fillId="0" fontId="3" numFmtId="12" xfId="0" applyFont="1" applyNumberFormat="1"/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vertical="top"/>
    </xf>
    <xf borderId="1" fillId="0" fontId="3" numFmtId="0" xfId="0" applyBorder="1" applyFont="1"/>
    <xf borderId="0" fillId="0" fontId="3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3" numFmtId="164" xfId="0" applyFont="1" applyNumberFormat="1"/>
    <xf borderId="0" fillId="0" fontId="3" numFmtId="165" xfId="0" applyFont="1" applyNumberFormat="1"/>
    <xf borderId="0" fillId="0" fontId="5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0" fontId="3" numFmtId="166" xfId="0" applyFont="1" applyNumberFormat="1"/>
    <xf borderId="0" fillId="0" fontId="3" numFmtId="16" xfId="0" applyFont="1" applyNumberFormat="1"/>
    <xf borderId="0" fillId="0" fontId="7" numFmtId="0" xfId="0" applyAlignment="1" applyFont="1">
      <alignment horizontal="center"/>
    </xf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0" fillId="0" fontId="8" numFmtId="0" xfId="0" applyAlignment="1" applyFont="1">
      <alignment vertical="center"/>
    </xf>
    <xf borderId="0" fillId="0" fontId="9" numFmtId="0" xfId="0" applyFont="1"/>
    <xf borderId="0" fillId="0" fontId="3" numFmtId="0" xfId="0" applyAlignment="1" applyFont="1">
      <alignment horizontal="left" shrinkToFit="0" vertical="top" wrapText="1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29"/>
    <col customWidth="1" min="3" max="3" width="12.29"/>
    <col customWidth="1" min="4" max="4" width="12.57"/>
    <col customWidth="1" min="5" max="5" width="8.71"/>
    <col customWidth="1" min="6" max="6" width="12.29"/>
    <col customWidth="1" min="7" max="26" width="8.71"/>
  </cols>
  <sheetData>
    <row r="1" ht="14.25" customHeight="1"/>
    <row r="2" ht="14.25" customHeight="1"/>
    <row r="3" ht="14.25" customHeight="1">
      <c r="B3" s="1" t="s">
        <v>0</v>
      </c>
    </row>
    <row r="4" ht="14.25" customHeight="1"/>
    <row r="5" ht="14.25" customHeight="1">
      <c r="B5" s="2" t="s">
        <v>1</v>
      </c>
    </row>
    <row r="6" ht="14.25" customHeight="1"/>
    <row r="7" ht="14.25" customHeight="1"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  <c r="G7" s="3" t="s">
        <v>7</v>
      </c>
    </row>
    <row r="8" ht="14.25" customHeight="1">
      <c r="B8" s="4">
        <v>1.0</v>
      </c>
      <c r="C8" s="4" t="s">
        <v>8</v>
      </c>
      <c r="D8" s="4" t="s">
        <v>9</v>
      </c>
      <c r="E8" s="4" t="s">
        <v>10</v>
      </c>
      <c r="F8" s="4" t="s">
        <v>11</v>
      </c>
      <c r="G8" s="4" t="s">
        <v>12</v>
      </c>
    </row>
    <row r="9" ht="14.25" customHeight="1">
      <c r="B9" s="4">
        <v>2.0</v>
      </c>
      <c r="C9" s="4" t="s">
        <v>8</v>
      </c>
      <c r="D9" s="4" t="s">
        <v>9</v>
      </c>
      <c r="E9" s="4" t="s">
        <v>10</v>
      </c>
      <c r="F9" s="4" t="s">
        <v>13</v>
      </c>
      <c r="G9" s="4" t="s">
        <v>12</v>
      </c>
    </row>
    <row r="10" ht="14.25" customHeight="1">
      <c r="B10" s="4">
        <v>3.0</v>
      </c>
      <c r="C10" s="4" t="s">
        <v>14</v>
      </c>
      <c r="D10" s="4" t="s">
        <v>9</v>
      </c>
      <c r="E10" s="4" t="s">
        <v>10</v>
      </c>
      <c r="F10" s="4" t="s">
        <v>11</v>
      </c>
      <c r="G10" s="4" t="s">
        <v>15</v>
      </c>
    </row>
    <row r="11" ht="14.25" customHeight="1">
      <c r="B11" s="4">
        <v>4.0</v>
      </c>
      <c r="C11" s="4" t="s">
        <v>16</v>
      </c>
      <c r="D11" s="4" t="s">
        <v>17</v>
      </c>
      <c r="E11" s="4" t="s">
        <v>10</v>
      </c>
      <c r="F11" s="4" t="s">
        <v>11</v>
      </c>
      <c r="G11" s="4" t="s">
        <v>15</v>
      </c>
    </row>
    <row r="12" ht="14.25" customHeight="1">
      <c r="B12" s="4">
        <v>5.0</v>
      </c>
      <c r="C12" s="4" t="s">
        <v>16</v>
      </c>
      <c r="D12" s="4" t="s">
        <v>18</v>
      </c>
      <c r="E12" s="4" t="s">
        <v>19</v>
      </c>
      <c r="F12" s="4" t="s">
        <v>11</v>
      </c>
      <c r="G12" s="4" t="s">
        <v>15</v>
      </c>
    </row>
    <row r="13" ht="14.25" customHeight="1">
      <c r="B13" s="4">
        <v>6.0</v>
      </c>
      <c r="C13" s="4" t="s">
        <v>16</v>
      </c>
      <c r="D13" s="4" t="s">
        <v>18</v>
      </c>
      <c r="E13" s="4" t="s">
        <v>19</v>
      </c>
      <c r="F13" s="4" t="s">
        <v>13</v>
      </c>
      <c r="G13" s="4" t="s">
        <v>12</v>
      </c>
    </row>
    <row r="14" ht="14.25" customHeight="1">
      <c r="B14" s="4">
        <v>7.0</v>
      </c>
      <c r="C14" s="4" t="s">
        <v>14</v>
      </c>
      <c r="D14" s="4" t="s">
        <v>20</v>
      </c>
      <c r="E14" s="4" t="s">
        <v>19</v>
      </c>
      <c r="F14" s="4" t="s">
        <v>13</v>
      </c>
      <c r="G14" s="4" t="s">
        <v>15</v>
      </c>
    </row>
    <row r="15" ht="14.25" customHeight="1"/>
    <row r="16" ht="14.25" customHeight="1"/>
    <row r="17" ht="14.25" customHeight="1">
      <c r="B17" s="2" t="s">
        <v>21</v>
      </c>
    </row>
    <row r="18" ht="14.25" customHeight="1"/>
    <row r="19" ht="14.25" customHeight="1">
      <c r="B19" s="5" t="s">
        <v>22</v>
      </c>
      <c r="C19" s="6">
        <f>4/7</f>
        <v>0.5714285714</v>
      </c>
    </row>
    <row r="20" ht="14.25" customHeight="1">
      <c r="B20" s="5" t="s">
        <v>23</v>
      </c>
      <c r="C20" s="6">
        <f>3/7</f>
        <v>0.4285714286</v>
      </c>
    </row>
    <row r="21" ht="14.25" customHeight="1"/>
    <row r="22" ht="14.25" customHeight="1"/>
    <row r="23" ht="14.25" customHeight="1">
      <c r="B23" s="2" t="s">
        <v>24</v>
      </c>
    </row>
    <row r="24" ht="14.25" customHeight="1">
      <c r="B24" s="7" t="s">
        <v>25</v>
      </c>
    </row>
    <row r="25" ht="14.25" customHeight="1"/>
    <row r="26" ht="14.25" customHeight="1">
      <c r="B26" s="8"/>
      <c r="C26" s="8"/>
      <c r="D26" s="8"/>
      <c r="E26" s="8"/>
      <c r="F26" s="8"/>
      <c r="G26" s="8"/>
    </row>
    <row r="27" ht="14.25" customHeight="1">
      <c r="B27" s="8"/>
      <c r="C27" s="8"/>
      <c r="D27" s="8"/>
      <c r="E27" s="8"/>
      <c r="F27" s="8"/>
      <c r="G27" s="8"/>
    </row>
    <row r="28" ht="14.25" customHeight="1"/>
    <row r="29" ht="14.25" customHeight="1">
      <c r="B29" s="5" t="s">
        <v>26</v>
      </c>
      <c r="F29" s="5" t="s">
        <v>27</v>
      </c>
    </row>
    <row r="30" ht="14.25" customHeight="1"/>
    <row r="31" ht="14.25" customHeight="1">
      <c r="B31" s="4" t="s">
        <v>3</v>
      </c>
      <c r="C31" s="4" t="s">
        <v>28</v>
      </c>
      <c r="D31" s="4" t="s">
        <v>29</v>
      </c>
      <c r="F31" s="4" t="s">
        <v>4</v>
      </c>
      <c r="G31" s="4" t="s">
        <v>28</v>
      </c>
      <c r="H31" s="4" t="s">
        <v>29</v>
      </c>
    </row>
    <row r="32" ht="14.25" customHeight="1">
      <c r="B32" s="4" t="s">
        <v>8</v>
      </c>
      <c r="C32" s="4">
        <v>0.0</v>
      </c>
      <c r="D32" s="4">
        <v>2.0</v>
      </c>
      <c r="F32" s="9" t="s">
        <v>9</v>
      </c>
      <c r="G32" s="9">
        <v>1.0</v>
      </c>
      <c r="H32" s="9">
        <v>2.0</v>
      </c>
    </row>
    <row r="33" ht="14.25" customHeight="1">
      <c r="B33" s="4" t="s">
        <v>16</v>
      </c>
      <c r="C33" s="4">
        <v>2.0</v>
      </c>
      <c r="D33" s="4">
        <v>1.0</v>
      </c>
      <c r="F33" s="9" t="s">
        <v>17</v>
      </c>
      <c r="G33" s="9">
        <v>1.0</v>
      </c>
      <c r="H33" s="9">
        <v>0.0</v>
      </c>
    </row>
    <row r="34" ht="14.25" customHeight="1">
      <c r="B34" s="4" t="s">
        <v>14</v>
      </c>
      <c r="C34" s="4">
        <v>2.0</v>
      </c>
      <c r="D34" s="4">
        <v>0.0</v>
      </c>
      <c r="F34" s="9" t="s">
        <v>18</v>
      </c>
      <c r="G34" s="9">
        <v>2.0</v>
      </c>
      <c r="H34" s="9">
        <v>1.0</v>
      </c>
    </row>
    <row r="35" ht="14.25" customHeight="1"/>
    <row r="36" ht="14.25" customHeight="1"/>
    <row r="37" ht="14.25" customHeight="1">
      <c r="B37" s="10" t="s">
        <v>30</v>
      </c>
      <c r="F37" s="5" t="s">
        <v>31</v>
      </c>
    </row>
    <row r="38" ht="14.25" customHeight="1"/>
    <row r="39" ht="14.25" customHeight="1">
      <c r="B39" s="9" t="s">
        <v>5</v>
      </c>
      <c r="C39" s="9" t="s">
        <v>28</v>
      </c>
      <c r="D39" s="9" t="s">
        <v>29</v>
      </c>
      <c r="F39" s="9" t="s">
        <v>6</v>
      </c>
      <c r="G39" s="9" t="s">
        <v>28</v>
      </c>
      <c r="H39" s="9" t="s">
        <v>29</v>
      </c>
    </row>
    <row r="40" ht="14.25" customHeight="1">
      <c r="B40" s="9" t="s">
        <v>10</v>
      </c>
      <c r="C40" s="9">
        <v>2.0</v>
      </c>
      <c r="D40" s="9">
        <v>2.0</v>
      </c>
      <c r="F40" s="9" t="s">
        <v>11</v>
      </c>
      <c r="G40" s="9">
        <v>3.0</v>
      </c>
      <c r="H40" s="9">
        <v>1.0</v>
      </c>
    </row>
    <row r="41" ht="14.25" customHeight="1">
      <c r="B41" s="9" t="s">
        <v>19</v>
      </c>
      <c r="C41" s="9">
        <v>2.0</v>
      </c>
      <c r="D41" s="9">
        <v>1.0</v>
      </c>
      <c r="F41" s="9" t="s">
        <v>13</v>
      </c>
      <c r="G41" s="9">
        <v>1.0</v>
      </c>
      <c r="H41" s="9">
        <v>2.0</v>
      </c>
    </row>
    <row r="42" ht="14.25" customHeight="1"/>
    <row r="43" ht="14.25" customHeight="1"/>
    <row r="44" ht="14.25" customHeight="1"/>
    <row r="45" ht="14.25" customHeight="1">
      <c r="B45" s="2" t="s">
        <v>32</v>
      </c>
    </row>
    <row r="46" ht="14.25" customHeight="1">
      <c r="B46" s="5" t="s">
        <v>33</v>
      </c>
    </row>
    <row r="47" ht="14.25" customHeight="1">
      <c r="B47" s="11" t="s">
        <v>34</v>
      </c>
    </row>
    <row r="48" ht="14.25" customHeight="1"/>
    <row r="49" ht="14.25" customHeight="1">
      <c r="B49" s="2" t="s">
        <v>35</v>
      </c>
      <c r="C49" s="2"/>
      <c r="D49" s="2"/>
      <c r="E49" s="2"/>
      <c r="F49" s="2"/>
      <c r="G49" s="2"/>
      <c r="H49" s="2"/>
    </row>
    <row r="50" ht="14.25" customHeight="1">
      <c r="B50" s="2" t="s">
        <v>36</v>
      </c>
      <c r="C50" s="2"/>
      <c r="D50" s="2"/>
      <c r="E50" s="2"/>
      <c r="F50" s="2"/>
      <c r="G50" s="2"/>
      <c r="H50" s="2"/>
    </row>
    <row r="51" ht="14.25" customHeight="1"/>
    <row r="52" ht="14.25" customHeight="1">
      <c r="B52" s="5" t="s">
        <v>37</v>
      </c>
      <c r="C52" s="6">
        <f>4/7</f>
        <v>0.5714285714</v>
      </c>
    </row>
    <row r="53" ht="14.25" customHeight="1">
      <c r="B53" s="5" t="s">
        <v>38</v>
      </c>
      <c r="C53" s="5">
        <f>0/4</f>
        <v>0</v>
      </c>
      <c r="D53" s="12" t="s">
        <v>39</v>
      </c>
      <c r="H53" s="6">
        <f> 1/7</f>
        <v>0.1428571429</v>
      </c>
    </row>
    <row r="54" ht="14.25" customHeight="1">
      <c r="B54" s="5" t="s">
        <v>40</v>
      </c>
      <c r="C54" s="13">
        <f t="shared" ref="C54:C55" si="1">2/4</f>
        <v>0.5</v>
      </c>
    </row>
    <row r="55" ht="14.25" customHeight="1">
      <c r="B55" s="5" t="s">
        <v>41</v>
      </c>
      <c r="C55" s="13">
        <f t="shared" si="1"/>
        <v>0.5</v>
      </c>
    </row>
    <row r="56" ht="14.25" customHeight="1">
      <c r="B56" s="5" t="s">
        <v>42</v>
      </c>
      <c r="C56" s="6">
        <f>1/4</f>
        <v>0.25</v>
      </c>
    </row>
    <row r="57" ht="14.25" customHeight="1"/>
    <row r="58" ht="14.25" customHeight="1">
      <c r="B58" s="5" t="s">
        <v>43</v>
      </c>
      <c r="C58" s="14">
        <f>C52*H53*C54*C55*C56</f>
        <v>0.005102040816</v>
      </c>
    </row>
    <row r="59" ht="14.25" customHeight="1"/>
    <row r="60" ht="14.25" customHeight="1"/>
    <row r="61" ht="14.25" customHeight="1">
      <c r="B61" s="2" t="s">
        <v>44</v>
      </c>
      <c r="C61" s="2"/>
      <c r="D61" s="2"/>
      <c r="E61" s="2"/>
      <c r="F61" s="2"/>
      <c r="G61" s="2"/>
    </row>
    <row r="62" ht="14.25" customHeight="1"/>
    <row r="63" ht="14.25" customHeight="1">
      <c r="B63" s="5" t="s">
        <v>45</v>
      </c>
      <c r="C63" s="6">
        <f>3/7</f>
        <v>0.4285714286</v>
      </c>
    </row>
    <row r="64" ht="14.25" customHeight="1">
      <c r="B64" s="5" t="s">
        <v>46</v>
      </c>
      <c r="C64" s="6">
        <f>2/3</f>
        <v>0.6666666667</v>
      </c>
    </row>
    <row r="65" ht="14.25" customHeight="1">
      <c r="B65" s="5" t="s">
        <v>47</v>
      </c>
      <c r="C65" s="6">
        <v>0.3333333333333333</v>
      </c>
    </row>
    <row r="66" ht="14.25" customHeight="1">
      <c r="B66" s="5" t="s">
        <v>48</v>
      </c>
      <c r="C66" s="6">
        <v>0.6666666666666666</v>
      </c>
    </row>
    <row r="67" ht="14.25" customHeight="1">
      <c r="B67" s="5" t="s">
        <v>49</v>
      </c>
      <c r="C67" s="6">
        <v>0.6666666666666666</v>
      </c>
    </row>
    <row r="68" ht="14.25" customHeight="1"/>
    <row r="69" ht="14.25" customHeight="1">
      <c r="B69" s="5" t="s">
        <v>50</v>
      </c>
      <c r="C69" s="14">
        <f>C63*C64*C65*C66*C67</f>
        <v>0.04232804233</v>
      </c>
    </row>
    <row r="70" ht="14.25" customHeight="1"/>
    <row r="71" ht="14.25" customHeight="1">
      <c r="B71" s="2" t="s">
        <v>51</v>
      </c>
    </row>
    <row r="72" ht="14.25" customHeight="1"/>
    <row r="73" ht="14.25" customHeight="1">
      <c r="B73" s="15" t="s">
        <v>52</v>
      </c>
    </row>
    <row r="74" ht="14.25" customHeight="1"/>
    <row r="75" ht="14.25" customHeight="1">
      <c r="B75" s="5" t="s">
        <v>53</v>
      </c>
    </row>
    <row r="76" ht="14.25" customHeight="1">
      <c r="B76" s="16"/>
      <c r="C76" s="2"/>
      <c r="D76" s="2"/>
      <c r="E76" s="2"/>
      <c r="F76" s="2"/>
      <c r="G76" s="2"/>
    </row>
    <row r="77" ht="14.25" customHeight="1">
      <c r="B77" s="17" t="s">
        <v>54</v>
      </c>
    </row>
    <row r="78" ht="14.25" customHeight="1"/>
    <row r="79" ht="14.25" customHeight="1">
      <c r="B79" s="5" t="s">
        <v>55</v>
      </c>
    </row>
    <row r="80" ht="14.25" customHeight="1"/>
    <row r="81" ht="14.25" customHeight="1">
      <c r="D81" s="18"/>
    </row>
    <row r="82" ht="14.25" customHeight="1">
      <c r="D82" s="19"/>
    </row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3:H3"/>
    <mergeCell ref="B24:G25"/>
    <mergeCell ref="B47:G47"/>
    <mergeCell ref="D53:G5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3.14"/>
    <col customWidth="1" min="6" max="26" width="8.71"/>
  </cols>
  <sheetData>
    <row r="1" ht="14.25" customHeight="1"/>
    <row r="2" ht="14.25" customHeight="1">
      <c r="C2" s="20" t="s">
        <v>56</v>
      </c>
    </row>
    <row r="3" ht="14.25" customHeight="1"/>
    <row r="4" ht="14.25" customHeight="1">
      <c r="C4" s="5" t="s">
        <v>57</v>
      </c>
    </row>
    <row r="5" ht="14.25" customHeight="1">
      <c r="C5" s="5" t="s">
        <v>58</v>
      </c>
    </row>
    <row r="6" ht="14.25" customHeight="1">
      <c r="C6" s="5" t="s">
        <v>59</v>
      </c>
    </row>
    <row r="7" ht="14.25" customHeight="1"/>
    <row r="8" ht="14.25" customHeight="1">
      <c r="C8" s="2" t="s">
        <v>60</v>
      </c>
    </row>
    <row r="9" ht="14.25" customHeight="1"/>
    <row r="10" ht="14.25" customHeight="1">
      <c r="C10" s="21" t="s">
        <v>2</v>
      </c>
      <c r="D10" s="21" t="s">
        <v>3</v>
      </c>
      <c r="E10" s="21" t="s">
        <v>4</v>
      </c>
      <c r="F10" s="21" t="s">
        <v>5</v>
      </c>
      <c r="G10" s="21" t="s">
        <v>6</v>
      </c>
      <c r="H10" s="21" t="s">
        <v>7</v>
      </c>
    </row>
    <row r="11" ht="14.25" customHeight="1">
      <c r="C11" s="22">
        <v>1.0</v>
      </c>
      <c r="D11" s="22" t="s">
        <v>8</v>
      </c>
      <c r="E11" s="22" t="s">
        <v>9</v>
      </c>
      <c r="F11" s="22" t="s">
        <v>10</v>
      </c>
      <c r="G11" s="22" t="s">
        <v>11</v>
      </c>
      <c r="H11" s="22" t="s">
        <v>12</v>
      </c>
    </row>
    <row r="12" ht="14.25" customHeight="1">
      <c r="C12" s="22">
        <v>2.0</v>
      </c>
      <c r="D12" s="22" t="s">
        <v>8</v>
      </c>
      <c r="E12" s="22" t="s">
        <v>9</v>
      </c>
      <c r="F12" s="22" t="s">
        <v>10</v>
      </c>
      <c r="G12" s="22" t="s">
        <v>13</v>
      </c>
      <c r="H12" s="22" t="s">
        <v>12</v>
      </c>
    </row>
    <row r="13" ht="14.25" customHeight="1">
      <c r="C13" s="22">
        <v>3.0</v>
      </c>
      <c r="D13" s="22" t="s">
        <v>14</v>
      </c>
      <c r="E13" s="22" t="s">
        <v>9</v>
      </c>
      <c r="F13" s="22" t="s">
        <v>10</v>
      </c>
      <c r="G13" s="22" t="s">
        <v>11</v>
      </c>
      <c r="H13" s="22" t="s">
        <v>15</v>
      </c>
    </row>
    <row r="14" ht="14.25" customHeight="1">
      <c r="C14" s="22">
        <v>4.0</v>
      </c>
      <c r="D14" s="22" t="s">
        <v>16</v>
      </c>
      <c r="E14" s="22" t="s">
        <v>17</v>
      </c>
      <c r="F14" s="22" t="s">
        <v>10</v>
      </c>
      <c r="G14" s="22" t="s">
        <v>11</v>
      </c>
      <c r="H14" s="22" t="s">
        <v>15</v>
      </c>
    </row>
    <row r="15" ht="14.25" customHeight="1">
      <c r="C15" s="22">
        <v>5.0</v>
      </c>
      <c r="D15" s="22" t="s">
        <v>16</v>
      </c>
      <c r="E15" s="22" t="s">
        <v>18</v>
      </c>
      <c r="F15" s="22" t="s">
        <v>19</v>
      </c>
      <c r="G15" s="22" t="s">
        <v>11</v>
      </c>
      <c r="H15" s="22" t="s">
        <v>15</v>
      </c>
    </row>
    <row r="16" ht="14.25" customHeight="1">
      <c r="C16" s="22">
        <v>6.0</v>
      </c>
      <c r="D16" s="22" t="s">
        <v>16</v>
      </c>
      <c r="E16" s="22" t="s">
        <v>18</v>
      </c>
      <c r="F16" s="22" t="s">
        <v>19</v>
      </c>
      <c r="G16" s="22" t="s">
        <v>13</v>
      </c>
      <c r="H16" s="22" t="s">
        <v>12</v>
      </c>
    </row>
    <row r="17" ht="14.25" customHeight="1">
      <c r="C17" s="22">
        <v>7.0</v>
      </c>
      <c r="D17" s="22" t="s">
        <v>14</v>
      </c>
      <c r="E17" s="22" t="s">
        <v>20</v>
      </c>
      <c r="F17" s="22" t="s">
        <v>19</v>
      </c>
      <c r="G17" s="22" t="s">
        <v>13</v>
      </c>
      <c r="H17" s="22" t="s">
        <v>15</v>
      </c>
    </row>
    <row r="18" ht="14.25" customHeight="1">
      <c r="C18" s="22">
        <v>8.0</v>
      </c>
      <c r="D18" s="22" t="s">
        <v>8</v>
      </c>
      <c r="E18" s="22" t="s">
        <v>17</v>
      </c>
      <c r="F18" s="22" t="s">
        <v>10</v>
      </c>
      <c r="G18" s="22" t="s">
        <v>11</v>
      </c>
      <c r="H18" s="22" t="s">
        <v>12</v>
      </c>
    </row>
    <row r="19" ht="14.25" customHeight="1"/>
    <row r="20" ht="14.25" customHeight="1"/>
    <row r="21" ht="14.25" customHeight="1">
      <c r="C21" s="23" t="s">
        <v>61</v>
      </c>
      <c r="D21" s="24"/>
    </row>
    <row r="22" ht="14.25" customHeight="1">
      <c r="C22" s="25" t="s">
        <v>62</v>
      </c>
    </row>
    <row r="23" ht="14.25" customHeight="1"/>
    <row r="24" ht="14.25" customHeight="1"/>
    <row r="25" ht="14.25" customHeight="1">
      <c r="C25" s="26" t="s">
        <v>63</v>
      </c>
      <c r="D25" s="27"/>
    </row>
    <row r="26" ht="14.25" customHeight="1">
      <c r="C26" s="27" t="s">
        <v>64</v>
      </c>
      <c r="D26" s="27"/>
    </row>
    <row r="27" ht="14.25" customHeight="1">
      <c r="C27" s="27" t="s">
        <v>65</v>
      </c>
      <c r="D27" s="27"/>
    </row>
    <row r="28" ht="14.25" customHeight="1">
      <c r="C28" s="26" t="s">
        <v>66</v>
      </c>
      <c r="D28" s="27"/>
    </row>
    <row r="29" ht="14.25" customHeight="1"/>
    <row r="30" ht="14.25" customHeight="1">
      <c r="C30" s="24" t="s">
        <v>67</v>
      </c>
      <c r="D30" s="27"/>
      <c r="E30" s="27"/>
      <c r="F30" s="27"/>
      <c r="G30" s="27"/>
      <c r="H30" s="27"/>
    </row>
    <row r="31" ht="14.25" customHeight="1">
      <c r="C31" s="27" t="s">
        <v>68</v>
      </c>
      <c r="D31" s="27"/>
      <c r="E31" s="27"/>
      <c r="F31" s="27"/>
      <c r="G31" s="27"/>
      <c r="H31" s="27"/>
    </row>
    <row r="32" ht="14.25" customHeight="1">
      <c r="C32" s="27" t="s">
        <v>69</v>
      </c>
      <c r="D32" s="27"/>
      <c r="E32" s="27"/>
      <c r="F32" s="27"/>
      <c r="G32" s="27"/>
      <c r="H32" s="27"/>
    </row>
    <row r="33" ht="14.25" customHeight="1">
      <c r="C33" s="27" t="s">
        <v>70</v>
      </c>
      <c r="D33" s="27"/>
      <c r="E33" s="27"/>
      <c r="F33" s="27"/>
      <c r="G33" s="27"/>
      <c r="H33" s="27"/>
    </row>
    <row r="34" ht="14.25" customHeight="1">
      <c r="C34" s="27" t="s">
        <v>71</v>
      </c>
      <c r="D34" s="27"/>
      <c r="E34" s="27"/>
      <c r="F34" s="27"/>
      <c r="G34" s="27"/>
      <c r="H34" s="27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C2:H2"/>
    <mergeCell ref="C22:H2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2025-04-15T08:45:59Z</dcterms:created>
  <dc:creator>M S I</dc:creator>
</cp:coreProperties>
</file>